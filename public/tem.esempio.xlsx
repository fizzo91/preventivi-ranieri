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180"/>
  </bookViews>
  <sheets>
    <sheet name="CALCOLO VINCENZO" sheetId="1" r:id="rId1"/>
    <sheet name="BANCALI" sheetId="2" r:id="rId2"/>
  </sheets>
  <calcPr calcId="162913"/>
</workbook>
</file>

<file path=xl/calcChain.xml><?xml version="1.0" encoding="utf-8"?>
<calcChain xmlns="http://schemas.openxmlformats.org/spreadsheetml/2006/main">
  <c r="C15" i="1" l="1"/>
  <c r="M17" i="1" l="1"/>
  <c r="L17" i="1"/>
  <c r="AD18" i="1" l="1"/>
  <c r="AE18" i="1" s="1"/>
  <c r="B18" i="1"/>
  <c r="B17" i="1"/>
  <c r="P18" i="1"/>
  <c r="N18" i="1"/>
  <c r="T18" i="1" s="1"/>
  <c r="V18" i="1" l="1"/>
  <c r="W18" i="1"/>
  <c r="X18" i="1" s="1"/>
  <c r="Q18" i="1"/>
  <c r="S18" i="1" s="1"/>
  <c r="U18" i="1" s="1"/>
  <c r="AG18" i="1" s="1"/>
  <c r="AF18" i="1" s="1"/>
  <c r="P17" i="1" l="1"/>
  <c r="AE17" i="1" l="1"/>
  <c r="AC17" i="1"/>
  <c r="N17" i="1"/>
  <c r="Q17" i="1" l="1"/>
  <c r="S17" i="1" s="1"/>
  <c r="T17" i="1"/>
  <c r="W17" i="1"/>
  <c r="X17" i="1" l="1"/>
  <c r="T19" i="1"/>
  <c r="V17" i="1"/>
  <c r="U17" i="1"/>
  <c r="AG17" i="1" l="1"/>
  <c r="AH18" i="1" s="1"/>
  <c r="AF17" i="1" l="1"/>
  <c r="AG19" i="1"/>
</calcChain>
</file>

<file path=xl/sharedStrings.xml><?xml version="1.0" encoding="utf-8"?>
<sst xmlns="http://schemas.openxmlformats.org/spreadsheetml/2006/main" count="67" uniqueCount="66">
  <si>
    <t xml:space="preserve">RIF. </t>
  </si>
  <si>
    <t>INSERIRE DESCRIZIONE PEZZO</t>
  </si>
  <si>
    <t>INSERIRE FINITURA E COLORE</t>
  </si>
  <si>
    <t>SVILUPPATO DA</t>
  </si>
  <si>
    <t>totale</t>
  </si>
  <si>
    <r>
      <rPr>
        <sz val="14"/>
        <color theme="1"/>
        <rFont val="Times New Roman"/>
        <family val="1"/>
      </rPr>
      <t>DATA</t>
    </r>
  </si>
  <si>
    <r>
      <rPr>
        <sz val="14"/>
        <color theme="1"/>
        <rFont val="Times New Roman"/>
        <family val="1"/>
      </rPr>
      <t>REP.</t>
    </r>
  </si>
  <si>
    <r>
      <rPr>
        <sz val="14"/>
        <color theme="1"/>
        <rFont val="Times New Roman"/>
        <family val="1"/>
      </rPr>
      <t>ID</t>
    </r>
  </si>
  <si>
    <r>
      <rPr>
        <sz val="14"/>
        <color theme="1"/>
        <rFont val="Times New Roman"/>
        <family val="1"/>
      </rPr>
      <t>RV</t>
    </r>
  </si>
  <si>
    <r>
      <rPr>
        <sz val="14"/>
        <color theme="1"/>
        <rFont val="Times New Roman"/>
        <family val="1"/>
      </rPr>
      <t>DESCRIZ. PRODUZ.</t>
    </r>
  </si>
  <si>
    <r>
      <rPr>
        <sz val="14"/>
        <color theme="1"/>
        <rFont val="Times New Roman"/>
        <family val="1"/>
      </rPr>
      <t>LIS TI NO</t>
    </r>
  </si>
  <si>
    <r>
      <rPr>
        <sz val="14"/>
        <color theme="1"/>
        <rFont val="Times New Roman"/>
        <family val="1"/>
      </rPr>
      <t>COD
. PZ</t>
    </r>
  </si>
  <si>
    <r>
      <rPr>
        <sz val="14"/>
        <color theme="1"/>
        <rFont val="Times New Roman"/>
        <family val="1"/>
      </rPr>
      <t>FI NI T.</t>
    </r>
  </si>
  <si>
    <r>
      <rPr>
        <sz val="14"/>
        <color theme="1"/>
        <rFont val="Times New Roman"/>
        <family val="1"/>
      </rPr>
      <t>DETT. PRODUZ.</t>
    </r>
  </si>
  <si>
    <r>
      <rPr>
        <sz val="14"/>
        <color theme="1"/>
        <rFont val="Times New Roman"/>
        <family val="1"/>
      </rPr>
      <t>SP.
Cm</t>
    </r>
  </si>
  <si>
    <r>
      <rPr>
        <sz val="14"/>
        <color theme="1"/>
        <rFont val="Times New Roman"/>
        <family val="1"/>
      </rPr>
      <t>LATO 1 (Cm)</t>
    </r>
  </si>
  <si>
    <r>
      <rPr>
        <sz val="14"/>
        <color theme="1"/>
        <rFont val="Times New Roman"/>
        <family val="1"/>
      </rPr>
      <t>LATO 2 (Cm)</t>
    </r>
  </si>
  <si>
    <r>
      <rPr>
        <sz val="14"/>
        <color theme="1"/>
        <rFont val="Times New Roman"/>
        <family val="1"/>
      </rPr>
      <t>Mq MOD.</t>
    </r>
  </si>
  <si>
    <r>
      <rPr>
        <sz val="14"/>
        <color theme="1"/>
        <rFont val="Times New Roman"/>
        <family val="1"/>
      </rPr>
      <t>NR.
Pz.</t>
    </r>
  </si>
  <si>
    <r>
      <rPr>
        <sz val="14"/>
        <color theme="1"/>
        <rFont val="Times New Roman"/>
        <family val="1"/>
      </rPr>
      <t>QUOT A FISSA</t>
    </r>
  </si>
  <si>
    <r>
      <rPr>
        <sz val="14"/>
        <color theme="1"/>
        <rFont val="Times New Roman"/>
        <family val="1"/>
      </rPr>
      <t>QUOT A VAR.</t>
    </r>
  </si>
  <si>
    <r>
      <rPr>
        <sz val="14"/>
        <color theme="1"/>
        <rFont val="Times New Roman"/>
        <family val="1"/>
      </rPr>
      <t>%
+/-</t>
    </r>
  </si>
  <si>
    <r>
      <rPr>
        <sz val="14"/>
        <color theme="1"/>
        <rFont val="Times New Roman"/>
        <family val="1"/>
      </rPr>
      <t>LISTINO
A Mq</t>
    </r>
  </si>
  <si>
    <r>
      <rPr>
        <sz val="14"/>
        <color theme="1"/>
        <rFont val="Times New Roman"/>
        <family val="1"/>
      </rPr>
      <t>Mq TOT.</t>
    </r>
  </si>
  <si>
    <r>
      <rPr>
        <sz val="14"/>
        <color theme="1"/>
        <rFont val="Times New Roman"/>
        <family val="1"/>
      </rPr>
      <t>TOTALE CERAM.</t>
    </r>
  </si>
  <si>
    <r>
      <rPr>
        <sz val="14"/>
        <color theme="1"/>
        <rFont val="Times New Roman"/>
        <family val="1"/>
      </rPr>
      <t>Kg</t>
    </r>
  </si>
  <si>
    <r>
      <rPr>
        <sz val="14"/>
        <color theme="1"/>
        <rFont val="Times New Roman"/>
        <family val="1"/>
      </rPr>
      <t>IMBA.
Mq</t>
    </r>
  </si>
  <si>
    <r>
      <rPr>
        <sz val="14"/>
        <color theme="1"/>
        <rFont val="Times New Roman"/>
        <family val="1"/>
      </rPr>
      <t>TOT. IMBA.</t>
    </r>
  </si>
  <si>
    <r>
      <rPr>
        <sz val="14"/>
        <color theme="1"/>
        <rFont val="Times New Roman"/>
        <family val="1"/>
      </rPr>
      <t>ALTRE PROD.</t>
    </r>
  </si>
  <si>
    <r>
      <rPr>
        <sz val="14"/>
        <color theme="1"/>
        <rFont val="Times New Roman"/>
        <family val="1"/>
      </rPr>
      <t>Q.TA</t>
    </r>
  </si>
  <si>
    <r>
      <rPr>
        <sz val="14"/>
        <color theme="1"/>
        <rFont val="Times New Roman"/>
        <family val="1"/>
      </rPr>
      <t>COSTO
× UN.</t>
    </r>
  </si>
  <si>
    <r>
      <rPr>
        <sz val="14"/>
        <color theme="1"/>
        <rFont val="Times New Roman"/>
        <family val="1"/>
      </rPr>
      <t>COSTO A CORPO</t>
    </r>
  </si>
  <si>
    <r>
      <rPr>
        <sz val="14"/>
        <color theme="1"/>
        <rFont val="Times New Roman"/>
        <family val="1"/>
      </rPr>
      <t>PROF.
€/ml</t>
    </r>
  </si>
  <si>
    <r>
      <rPr>
        <sz val="14"/>
        <color theme="1"/>
        <rFont val="Times New Roman"/>
        <family val="1"/>
      </rPr>
      <t>TOT. PROF.</t>
    </r>
  </si>
  <si>
    <r>
      <rPr>
        <sz val="14"/>
        <color theme="1"/>
        <rFont val="Times New Roman"/>
        <family val="1"/>
      </rPr>
      <t>IMPORTO
× MODULO</t>
    </r>
  </si>
  <si>
    <r>
      <rPr>
        <sz val="14"/>
        <color theme="1"/>
        <rFont val="Times New Roman"/>
        <family val="1"/>
      </rPr>
      <t>TOTALE RIGA</t>
    </r>
  </si>
  <si>
    <r>
      <rPr>
        <sz val="14"/>
        <color rgb="FFD22E2E"/>
        <rFont val="Times New Roman"/>
        <family val="1"/>
      </rPr>
      <t>CER.</t>
    </r>
  </si>
  <si>
    <t>UM</t>
  </si>
  <si>
    <t>BANCALI</t>
  </si>
  <si>
    <t>PE80</t>
  </si>
  <si>
    <t>cassa economica fino a 120 x80 x80 solo pannelli laterali</t>
  </si>
  <si>
    <t>CODICE</t>
  </si>
  <si>
    <t>DESCRIZIONE</t>
  </si>
  <si>
    <t>COSTO</t>
  </si>
  <si>
    <t>PE140</t>
  </si>
  <si>
    <t>PC80</t>
  </si>
  <si>
    <t>PC140</t>
  </si>
  <si>
    <t>BN80</t>
  </si>
  <si>
    <t>BN140</t>
  </si>
  <si>
    <t>BNX80</t>
  </si>
  <si>
    <t>BNX140</t>
  </si>
  <si>
    <t>cassa economica fino a 120 x80 x 140 solo pannelli laterali</t>
  </si>
  <si>
    <t>cassa chiusa fino a 120 x 80 x 80</t>
  </si>
  <si>
    <t>cassa chiusa fino a 120 x 80 x 140</t>
  </si>
  <si>
    <t>Bundle da 130x80 a 170x80 non più alto di 80cm</t>
  </si>
  <si>
    <t>Bundle da 130x80 a 170x80 non più alto di 140cm</t>
  </si>
  <si>
    <t>Bundle oltre i 170 di lunghezza non più alto di 80cm</t>
  </si>
  <si>
    <t>Bundle oltre i 170 di lunghezza e oltre 80 cm di altezza</t>
  </si>
  <si>
    <t>fumigatura: 60 €</t>
  </si>
  <si>
    <t>per ran aggiungere tetto spiovente + 35€</t>
  </si>
  <si>
    <t>francesco</t>
  </si>
  <si>
    <t>top</t>
  </si>
  <si>
    <t>prima smaltatura</t>
  </si>
  <si>
    <t>top libera installazione</t>
  </si>
  <si>
    <t>deep orange</t>
  </si>
  <si>
    <t>TOT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</si>
</sst>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0.0"/>
    <numFmt numFmtId="166" formatCode="[$€-2]\ #,##0.00"/>
    <numFmt numFmtId="167" formatCode="\€\ 0.00"/>
  </numFmts>
  <fonts count="26">
    <font>
      <sz val="10"/>
      <color rgb="FF000000"/>
      <name val="Arial"/>
      <scheme val="minor"/>
    </font>
    <font>
      <sz val="10"/>
      <color theme="1"/>
      <name val="&quot;Times New Roman&quot;"/>
    </font>
    <font>
      <b/>
      <sz val="12"/>
      <color theme="1"/>
      <name val="&quot;Times New Roman&quot;"/>
    </font>
    <font>
      <sz val="8"/>
      <color theme="1"/>
      <name val="&quot;Times New Roman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theme="1"/>
      <name val="&quot;Times New Roman&quot;"/>
    </font>
    <font>
      <sz val="14"/>
      <color theme="1"/>
      <name val="Times New Roman"/>
      <family val="1"/>
    </font>
    <font>
      <sz val="14"/>
      <color rgb="FFD22E2E"/>
      <name val="Times New Roman"/>
      <family val="1"/>
    </font>
    <font>
      <sz val="14"/>
      <color rgb="FF263238"/>
      <name val="&quot;Times New Roman&quot;"/>
    </font>
    <font>
      <sz val="14"/>
      <color rgb="FF202020"/>
      <name val="&quot;Times New Roman&quot;"/>
    </font>
    <font>
      <sz val="14"/>
      <color rgb="FF311A92"/>
      <name val="&quot;Times New Roman&quot;"/>
    </font>
    <font>
      <sz val="14"/>
      <color rgb="FFF9F9F9"/>
      <name val="&quot;Times New Roman&quot;"/>
    </font>
    <font>
      <sz val="14"/>
      <color rgb="FF004C3F"/>
      <name val="&quot;Times New Roman&quot;"/>
    </font>
    <font>
      <sz val="14"/>
      <color rgb="FF3E2622"/>
      <name val="&quot;Times New Roman&quot;"/>
    </font>
    <font>
      <sz val="14"/>
      <color rgb="FF4D332D"/>
      <name val="&quot;Times New Roman&quot;"/>
    </font>
    <font>
      <sz val="14"/>
      <color rgb="FF19227E"/>
      <name val="&quot;Times New Roman&quot;"/>
    </font>
    <font>
      <sz val="14"/>
      <color rgb="FF45269F"/>
      <name val="&quot;Times New Roman&quot;"/>
    </font>
    <font>
      <sz val="14"/>
      <color rgb="FF0C0C0C"/>
      <name val="&quot;Times New Roman&quot;"/>
    </font>
    <font>
      <sz val="14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1"/>
      <name val="&quot;Times New Roman&quot;"/>
    </font>
    <font>
      <sz val="11"/>
      <color theme="1"/>
      <name val="&quot;Times New Roman&quot;"/>
    </font>
    <font>
      <sz val="16"/>
      <color rgb="FF000000"/>
      <name val="Arial"/>
      <family val="2"/>
      <scheme val="minor"/>
    </font>
    <font>
      <b/>
      <sz val="14"/>
      <color rgb="FF0C0C0C"/>
      <name val="&quot;Times New Roman&quot;"/>
    </font>
  </fonts>
  <fills count="4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DEDED"/>
        <bgColor rgb="FFEDEDED"/>
      </patternFill>
    </fill>
    <fill>
      <patternFill patternType="solid">
        <fgColor rgb="FFDFDFDF"/>
        <bgColor rgb="FFDFDFDF"/>
      </patternFill>
    </fill>
    <fill>
      <patternFill patternType="solid">
        <fgColor rgb="FFE0BEE6"/>
        <bgColor rgb="FFE0BEE6"/>
      </patternFill>
    </fill>
    <fill>
      <patternFill patternType="solid">
        <fgColor rgb="FF7FDEEA"/>
        <bgColor rgb="FF7FDEEA"/>
      </patternFill>
    </fill>
    <fill>
      <patternFill patternType="solid">
        <fgColor rgb="FFFFAB91"/>
        <bgColor rgb="FFFFAB91"/>
      </patternFill>
    </fill>
    <fill>
      <patternFill patternType="solid">
        <fgColor rgb="FFDCECC7"/>
        <bgColor rgb="FFDCECC7"/>
      </patternFill>
    </fill>
    <fill>
      <patternFill patternType="solid">
        <fgColor rgb="FFC5E0A5"/>
        <bgColor rgb="FFC5E0A5"/>
      </patternFill>
    </fill>
    <fill>
      <patternFill patternType="solid">
        <fgColor rgb="FFE7F4E9"/>
        <bgColor rgb="FFE7F4E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AB46BB"/>
        <bgColor rgb="FFAB46BB"/>
      </patternFill>
    </fill>
    <fill>
      <patternFill patternType="solid">
        <fgColor rgb="FFA5D6A6"/>
        <bgColor rgb="FFA5D6A6"/>
      </patternFill>
    </fill>
    <fill>
      <patternFill patternType="solid">
        <fgColor rgb="FFF0F3C3"/>
        <bgColor rgb="FFF0F3C3"/>
      </patternFill>
    </fill>
    <fill>
      <patternFill patternType="solid">
        <fgColor rgb="FFA0877F"/>
        <bgColor rgb="FFA0877F"/>
      </patternFill>
    </fill>
    <fill>
      <patternFill patternType="solid">
        <fgColor rgb="FFBBAAA4"/>
        <bgColor rgb="FFBBAAA4"/>
      </patternFill>
    </fill>
    <fill>
      <patternFill patternType="solid">
        <fgColor rgb="FFBADEFA"/>
        <bgColor rgb="FFBADEFA"/>
      </patternFill>
    </fill>
    <fill>
      <patternFill patternType="solid">
        <fgColor rgb="FFF8BAD0"/>
        <bgColor rgb="FFF8BAD0"/>
      </patternFill>
    </fill>
    <fill>
      <patternFill patternType="solid">
        <fgColor rgb="FFF4F4F4"/>
        <bgColor rgb="FFF4F4F4"/>
      </patternFill>
    </fill>
    <fill>
      <patternFill patternType="solid">
        <fgColor rgb="FFFFF49D"/>
        <bgColor rgb="FFFFF49D"/>
      </patternFill>
    </fill>
    <fill>
      <patternFill patternType="solid">
        <fgColor theme="9" tint="0.59999389629810485"/>
        <bgColor rgb="FFF0F0F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EDEDED"/>
      </patternFill>
    </fill>
    <fill>
      <patternFill patternType="solid">
        <fgColor theme="9" tint="0.59999389629810485"/>
        <bgColor rgb="FFDFDFDF"/>
      </patternFill>
    </fill>
    <fill>
      <patternFill patternType="solid">
        <fgColor theme="9" tint="0.59999389629810485"/>
        <bgColor rgb="FFE0BEE6"/>
      </patternFill>
    </fill>
    <fill>
      <patternFill patternType="solid">
        <fgColor theme="9" tint="0.59999389629810485"/>
        <bgColor rgb="FF7FDEEA"/>
      </patternFill>
    </fill>
    <fill>
      <patternFill patternType="solid">
        <fgColor theme="9" tint="0.59999389629810485"/>
        <bgColor rgb="FFFFAB91"/>
      </patternFill>
    </fill>
    <fill>
      <patternFill patternType="solid">
        <fgColor theme="9" tint="0.59999389629810485"/>
        <bgColor rgb="FFDCECC7"/>
      </patternFill>
    </fill>
    <fill>
      <patternFill patternType="solid">
        <fgColor theme="9" tint="0.59999389629810485"/>
        <bgColor rgb="FFC5E0A5"/>
      </patternFill>
    </fill>
    <fill>
      <patternFill patternType="solid">
        <fgColor theme="9" tint="0.59999389629810485"/>
        <bgColor rgb="FFE7F4E9"/>
      </patternFill>
    </fill>
    <fill>
      <patternFill patternType="solid">
        <fgColor theme="9" tint="0.59999389629810485"/>
        <bgColor rgb="FFD9D2E9"/>
      </patternFill>
    </fill>
    <fill>
      <patternFill patternType="solid">
        <fgColor theme="9" tint="0.59999389629810485"/>
        <bgColor rgb="FFD0E0E3"/>
      </patternFill>
    </fill>
    <fill>
      <patternFill patternType="solid">
        <fgColor theme="9" tint="0.59999389629810485"/>
        <bgColor rgb="FFA5D6A6"/>
      </patternFill>
    </fill>
    <fill>
      <patternFill patternType="solid">
        <fgColor theme="9" tint="0.59999389629810485"/>
        <bgColor rgb="FFF0F3C3"/>
      </patternFill>
    </fill>
    <fill>
      <patternFill patternType="solid">
        <fgColor theme="9" tint="0.59999389629810485"/>
        <bgColor rgb="FFBBAAA4"/>
      </patternFill>
    </fill>
    <fill>
      <patternFill patternType="solid">
        <fgColor theme="9" tint="0.59999389629810485"/>
        <bgColor rgb="FFE3F2FD"/>
      </patternFill>
    </fill>
    <fill>
      <patternFill patternType="solid">
        <fgColor theme="9" tint="0.59999389629810485"/>
        <bgColor rgb="FFBADEFA"/>
      </patternFill>
    </fill>
    <fill>
      <patternFill patternType="solid">
        <fgColor theme="9" tint="0.59999389629810485"/>
        <bgColor rgb="FFF8BAD0"/>
      </patternFill>
    </fill>
    <fill>
      <patternFill patternType="solid">
        <fgColor theme="9" tint="0.59999389629810485"/>
        <bgColor rgb="FFF4F4F4"/>
      </patternFill>
    </fill>
    <fill>
      <patternFill patternType="solid">
        <fgColor theme="9" tint="0.59999389629810485"/>
        <bgColor rgb="FFFFF49D"/>
      </patternFill>
    </fill>
    <fill>
      <patternFill patternType="solid">
        <fgColor theme="0" tint="-4.9989318521683403E-2"/>
        <bgColor rgb="FFE3F2FD"/>
      </patternFill>
    </fill>
    <fill>
      <patternFill patternType="solid">
        <fgColor theme="4" tint="-0.499984740745262"/>
        <bgColor rgb="FFAB46BB"/>
      </patternFill>
    </fill>
    <fill>
      <patternFill patternType="solid">
        <fgColor theme="4" tint="-0.499984740745262"/>
        <bgColor rgb="FFA087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7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9" fontId="1" fillId="0" borderId="0" xfId="0" applyNumberFormat="1" applyFont="1" applyAlignment="1">
      <alignment vertical="top"/>
    </xf>
    <xf numFmtId="0" fontId="5" fillId="0" borderId="0" xfId="0" applyFont="1" applyAlignme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1" fontId="6" fillId="2" borderId="2" xfId="0" applyNumberFormat="1" applyFont="1" applyFill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164" fontId="6" fillId="3" borderId="2" xfId="0" applyNumberFormat="1" applyFont="1" applyFill="1" applyBorder="1" applyAlignment="1">
      <alignment horizontal="center" vertical="top"/>
    </xf>
    <xf numFmtId="0" fontId="6" fillId="4" borderId="2" xfId="0" applyFont="1" applyFill="1" applyBorder="1" applyAlignment="1">
      <alignment vertical="top"/>
    </xf>
    <xf numFmtId="1" fontId="6" fillId="5" borderId="2" xfId="0" applyNumberFormat="1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 wrapText="1"/>
    </xf>
    <xf numFmtId="1" fontId="9" fillId="6" borderId="2" xfId="0" applyNumberFormat="1" applyFont="1" applyFill="1" applyBorder="1" applyAlignment="1">
      <alignment horizontal="center" vertical="top"/>
    </xf>
    <xf numFmtId="165" fontId="10" fillId="8" borderId="2" xfId="0" applyNumberFormat="1" applyFont="1" applyFill="1" applyBorder="1" applyAlignment="1">
      <alignment horizontal="center" vertical="top"/>
    </xf>
    <xf numFmtId="2" fontId="6" fillId="9" borderId="2" xfId="0" applyNumberFormat="1" applyFont="1" applyFill="1" applyBorder="1" applyAlignment="1">
      <alignment horizontal="center" vertical="top"/>
    </xf>
    <xf numFmtId="1" fontId="6" fillId="10" borderId="2" xfId="0" applyNumberFormat="1" applyFont="1" applyFill="1" applyBorder="1" applyAlignment="1">
      <alignment vertical="top"/>
    </xf>
    <xf numFmtId="166" fontId="6" fillId="11" borderId="2" xfId="0" applyNumberFormat="1" applyFont="1" applyFill="1" applyBorder="1" applyAlignment="1">
      <alignment vertical="top" wrapText="1"/>
    </xf>
    <xf numFmtId="167" fontId="11" fillId="12" borderId="2" xfId="0" applyNumberFormat="1" applyFont="1" applyFill="1" applyBorder="1" applyAlignment="1">
      <alignment vertical="top"/>
    </xf>
    <xf numFmtId="0" fontId="9" fillId="5" borderId="2" xfId="0" applyFont="1" applyFill="1" applyBorder="1" applyAlignment="1">
      <alignment horizontal="center" vertical="top"/>
    </xf>
    <xf numFmtId="167" fontId="12" fillId="13" borderId="2" xfId="0" applyNumberFormat="1" applyFont="1" applyFill="1" applyBorder="1" applyAlignment="1">
      <alignment horizontal="right" vertical="top"/>
    </xf>
    <xf numFmtId="2" fontId="13" fillId="9" borderId="2" xfId="0" applyNumberFormat="1" applyFont="1" applyFill="1" applyBorder="1" applyAlignment="1">
      <alignment vertical="top"/>
    </xf>
    <xf numFmtId="167" fontId="10" fillId="14" borderId="2" xfId="0" applyNumberFormat="1" applyFont="1" applyFill="1" applyBorder="1" applyAlignment="1">
      <alignment horizontal="center" vertical="top"/>
    </xf>
    <xf numFmtId="1" fontId="14" fillId="15" borderId="2" xfId="0" applyNumberFormat="1" applyFont="1" applyFill="1" applyBorder="1" applyAlignment="1">
      <alignment horizontal="center" vertical="top"/>
    </xf>
    <xf numFmtId="167" fontId="12" fillId="16" borderId="2" xfId="0" applyNumberFormat="1" applyFont="1" applyFill="1" applyBorder="1" applyAlignment="1">
      <alignment horizontal="center" vertical="top"/>
    </xf>
    <xf numFmtId="167" fontId="15" fillId="17" borderId="2" xfId="0" applyNumberFormat="1" applyFont="1" applyFill="1" applyBorder="1" applyAlignment="1">
      <alignment horizontal="center" vertical="top"/>
    </xf>
    <xf numFmtId="2" fontId="6" fillId="0" borderId="2" xfId="0" applyNumberFormat="1" applyFont="1" applyBorder="1" applyAlignment="1">
      <alignment vertical="top"/>
    </xf>
    <xf numFmtId="167" fontId="6" fillId="0" borderId="2" xfId="0" applyNumberFormat="1" applyFont="1" applyBorder="1" applyAlignment="1">
      <alignment vertical="top"/>
    </xf>
    <xf numFmtId="167" fontId="16" fillId="18" borderId="2" xfId="0" applyNumberFormat="1" applyFont="1" applyFill="1" applyBorder="1" applyAlignment="1">
      <alignment vertical="top"/>
    </xf>
    <xf numFmtId="167" fontId="17" fillId="19" borderId="2" xfId="0" applyNumberFormat="1" applyFont="1" applyFill="1" applyBorder="1" applyAlignment="1">
      <alignment horizontal="center" vertical="top"/>
    </xf>
    <xf numFmtId="167" fontId="6" fillId="20" borderId="2" xfId="0" applyNumberFormat="1" applyFont="1" applyFill="1" applyBorder="1" applyAlignment="1">
      <alignment horizontal="center" vertical="top"/>
    </xf>
    <xf numFmtId="0" fontId="19" fillId="0" borderId="1" xfId="0" applyFont="1" applyBorder="1"/>
    <xf numFmtId="2" fontId="19" fillId="0" borderId="1" xfId="0" applyNumberFormat="1" applyFont="1" applyBorder="1"/>
    <xf numFmtId="167" fontId="19" fillId="0" borderId="1" xfId="0" applyNumberFormat="1" applyFont="1" applyBorder="1"/>
    <xf numFmtId="0" fontId="7" fillId="2" borderId="2" xfId="0" applyFont="1" applyFill="1" applyBorder="1" applyAlignment="1">
      <alignment horizontal="center" vertical="top" wrapText="1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wrapText="1"/>
    </xf>
    <xf numFmtId="0" fontId="0" fillId="0" borderId="2" xfId="0" applyFont="1" applyBorder="1" applyAlignment="1"/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wrapText="1"/>
    </xf>
    <xf numFmtId="9" fontId="1" fillId="0" borderId="0" xfId="0" applyNumberFormat="1" applyFont="1" applyBorder="1" applyAlignment="1">
      <alignment vertical="top" wrapText="1"/>
    </xf>
    <xf numFmtId="165" fontId="6" fillId="7" borderId="2" xfId="0" applyNumberFormat="1" applyFont="1" applyFill="1" applyBorder="1" applyAlignment="1">
      <alignment horizontal="center" vertical="top"/>
    </xf>
    <xf numFmtId="0" fontId="0" fillId="0" borderId="0" xfId="0" applyFont="1" applyBorder="1" applyAlignment="1"/>
    <xf numFmtId="0" fontId="24" fillId="0" borderId="0" xfId="0" applyFont="1" applyBorder="1" applyAlignment="1"/>
    <xf numFmtId="165" fontId="24" fillId="0" borderId="0" xfId="0" applyNumberFormat="1" applyFont="1" applyBorder="1" applyAlignment="1"/>
    <xf numFmtId="14" fontId="23" fillId="0" borderId="2" xfId="0" applyNumberFormat="1" applyFont="1" applyBorder="1" applyAlignment="1">
      <alignment horizontal="center" vertical="top" wrapText="1"/>
    </xf>
    <xf numFmtId="1" fontId="6" fillId="22" borderId="2" xfId="0" applyNumberFormat="1" applyFont="1" applyFill="1" applyBorder="1" applyAlignment="1">
      <alignment vertical="top"/>
    </xf>
    <xf numFmtId="14" fontId="23" fillId="23" borderId="2" xfId="0" applyNumberFormat="1" applyFont="1" applyFill="1" applyBorder="1" applyAlignment="1">
      <alignment horizontal="center" vertical="top" wrapText="1"/>
    </xf>
    <xf numFmtId="0" fontId="6" fillId="23" borderId="2" xfId="0" applyFont="1" applyFill="1" applyBorder="1" applyAlignment="1">
      <alignment vertical="top" wrapText="1"/>
    </xf>
    <xf numFmtId="164" fontId="6" fillId="24" borderId="2" xfId="0" applyNumberFormat="1" applyFont="1" applyFill="1" applyBorder="1" applyAlignment="1">
      <alignment horizontal="center" vertical="top"/>
    </xf>
    <xf numFmtId="0" fontId="6" fillId="25" borderId="2" xfId="0" applyFont="1" applyFill="1" applyBorder="1" applyAlignment="1">
      <alignment vertical="top"/>
    </xf>
    <xf numFmtId="1" fontId="6" fillId="26" borderId="2" xfId="0" applyNumberFormat="1" applyFont="1" applyFill="1" applyBorder="1" applyAlignment="1">
      <alignment horizontal="center" vertical="top"/>
    </xf>
    <xf numFmtId="0" fontId="6" fillId="24" borderId="2" xfId="0" applyFont="1" applyFill="1" applyBorder="1" applyAlignment="1">
      <alignment horizontal="center" vertical="top" wrapText="1"/>
    </xf>
    <xf numFmtId="1" fontId="9" fillId="27" borderId="2" xfId="0" applyNumberFormat="1" applyFont="1" applyFill="1" applyBorder="1" applyAlignment="1">
      <alignment horizontal="center" vertical="top"/>
    </xf>
    <xf numFmtId="165" fontId="6" fillId="28" borderId="2" xfId="0" applyNumberFormat="1" applyFont="1" applyFill="1" applyBorder="1" applyAlignment="1">
      <alignment horizontal="center" vertical="top"/>
    </xf>
    <xf numFmtId="165" fontId="10" fillId="29" borderId="2" xfId="0" applyNumberFormat="1" applyFont="1" applyFill="1" applyBorder="1" applyAlignment="1">
      <alignment horizontal="center" vertical="top"/>
    </xf>
    <xf numFmtId="2" fontId="6" fillId="30" borderId="2" xfId="0" applyNumberFormat="1" applyFont="1" applyFill="1" applyBorder="1" applyAlignment="1">
      <alignment horizontal="center" vertical="top"/>
    </xf>
    <xf numFmtId="1" fontId="6" fillId="31" borderId="2" xfId="0" applyNumberFormat="1" applyFont="1" applyFill="1" applyBorder="1" applyAlignment="1">
      <alignment vertical="top"/>
    </xf>
    <xf numFmtId="166" fontId="6" fillId="32" borderId="2" xfId="0" applyNumberFormat="1" applyFont="1" applyFill="1" applyBorder="1" applyAlignment="1">
      <alignment vertical="top" wrapText="1"/>
    </xf>
    <xf numFmtId="167" fontId="11" fillId="33" borderId="2" xfId="0" applyNumberFormat="1" applyFont="1" applyFill="1" applyBorder="1" applyAlignment="1">
      <alignment vertical="top"/>
    </xf>
    <xf numFmtId="0" fontId="9" fillId="26" borderId="2" xfId="0" applyFont="1" applyFill="1" applyBorder="1" applyAlignment="1">
      <alignment horizontal="center" vertical="top"/>
    </xf>
    <xf numFmtId="2" fontId="13" fillId="30" borderId="2" xfId="0" applyNumberFormat="1" applyFont="1" applyFill="1" applyBorder="1" applyAlignment="1">
      <alignment vertical="top"/>
    </xf>
    <xf numFmtId="167" fontId="10" fillId="34" borderId="2" xfId="0" applyNumberFormat="1" applyFont="1" applyFill="1" applyBorder="1" applyAlignment="1">
      <alignment horizontal="center" vertical="top"/>
    </xf>
    <xf numFmtId="1" fontId="14" fillId="35" borderId="2" xfId="0" applyNumberFormat="1" applyFont="1" applyFill="1" applyBorder="1" applyAlignment="1">
      <alignment horizontal="center" vertical="top"/>
    </xf>
    <xf numFmtId="167" fontId="15" fillId="36" borderId="2" xfId="0" applyNumberFormat="1" applyFont="1" applyFill="1" applyBorder="1" applyAlignment="1">
      <alignment horizontal="center" vertical="top"/>
    </xf>
    <xf numFmtId="0" fontId="6" fillId="23" borderId="2" xfId="0" applyFont="1" applyFill="1" applyBorder="1" applyAlignment="1">
      <alignment vertical="top"/>
    </xf>
    <xf numFmtId="0" fontId="6" fillId="23" borderId="2" xfId="0" applyFont="1" applyFill="1" applyBorder="1" applyAlignment="1">
      <alignment horizontal="center" vertical="top" wrapText="1"/>
    </xf>
    <xf numFmtId="2" fontId="6" fillId="23" borderId="2" xfId="0" applyNumberFormat="1" applyFont="1" applyFill="1" applyBorder="1" applyAlignment="1">
      <alignment vertical="top"/>
    </xf>
    <xf numFmtId="167" fontId="6" fillId="23" borderId="2" xfId="0" applyNumberFormat="1" applyFont="1" applyFill="1" applyBorder="1" applyAlignment="1">
      <alignment vertical="top"/>
    </xf>
    <xf numFmtId="0" fontId="6" fillId="37" borderId="2" xfId="0" applyFont="1" applyFill="1" applyBorder="1" applyAlignment="1">
      <alignment horizontal="center" vertical="top"/>
    </xf>
    <xf numFmtId="167" fontId="16" fillId="38" borderId="2" xfId="0" applyNumberFormat="1" applyFont="1" applyFill="1" applyBorder="1" applyAlignment="1">
      <alignment vertical="top"/>
    </xf>
    <xf numFmtId="167" fontId="17" fillId="39" borderId="2" xfId="0" applyNumberFormat="1" applyFont="1" applyFill="1" applyBorder="1" applyAlignment="1">
      <alignment horizontal="center" vertical="top"/>
    </xf>
    <xf numFmtId="167" fontId="6" fillId="40" borderId="2" xfId="0" applyNumberFormat="1" applyFont="1" applyFill="1" applyBorder="1" applyAlignment="1">
      <alignment horizontal="center" vertical="top"/>
    </xf>
    <xf numFmtId="165" fontId="18" fillId="41" borderId="2" xfId="0" applyNumberFormat="1" applyFont="1" applyFill="1" applyBorder="1" applyAlignment="1">
      <alignment vertical="top"/>
    </xf>
    <xf numFmtId="0" fontId="6" fillId="42" borderId="2" xfId="0" applyFont="1" applyFill="1" applyBorder="1" applyAlignment="1">
      <alignment horizontal="center" vertical="top"/>
    </xf>
    <xf numFmtId="167" fontId="12" fillId="43" borderId="2" xfId="0" applyNumberFormat="1" applyFont="1" applyFill="1" applyBorder="1" applyAlignment="1">
      <alignment horizontal="right" vertical="top"/>
    </xf>
    <xf numFmtId="167" fontId="12" fillId="44" borderId="2" xfId="0" applyNumberFormat="1" applyFont="1" applyFill="1" applyBorder="1" applyAlignment="1">
      <alignment horizontal="center" vertical="top"/>
    </xf>
    <xf numFmtId="0" fontId="7" fillId="2" borderId="2" xfId="0" applyFont="1" applyFill="1" applyBorder="1" applyAlignment="1">
      <alignment vertical="top" wrapText="1"/>
    </xf>
    <xf numFmtId="165" fontId="25" fillId="21" borderId="2" xfId="0" applyNumberFormat="1" applyFont="1" applyFill="1" applyBorder="1" applyAlignment="1">
      <alignment vertical="top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 vertical="top"/>
    </xf>
    <xf numFmtId="0" fontId="2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vertical="top" wrapText="1"/>
    </xf>
    <xf numFmtId="0" fontId="0" fillId="0" borderId="0" xfId="0" applyFont="1" applyBorder="1" applyAlignment="1"/>
    <xf numFmtId="0" fontId="21" fillId="0" borderId="2" xfId="0" applyFont="1" applyBorder="1" applyAlignment="1">
      <alignment horizontal="center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38100</xdr:rowOff>
    </xdr:from>
    <xdr:to>
      <xdr:col>4</xdr:col>
      <xdr:colOff>542333</xdr:colOff>
      <xdr:row>9</xdr:row>
      <xdr:rowOff>150159</xdr:rowOff>
    </xdr:to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100"/>
          <a:ext cx="3109731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H38"/>
  <sheetViews>
    <sheetView showGridLines="0" tabSelected="1" view="pageLayout" topLeftCell="A14" zoomScale="55" zoomScaleNormal="55" zoomScalePageLayoutView="55" workbookViewId="0">
      <selection activeCell="J27" sqref="J27"/>
    </sheetView>
  </sheetViews>
  <sheetFormatPr defaultColWidth="12.5703125" defaultRowHeight="15.75" customHeight="1"/>
  <cols>
    <col min="1" max="1" width="5.140625" customWidth="1"/>
    <col min="2" max="2" width="15" customWidth="1"/>
    <col min="3" max="3" width="8.28515625" customWidth="1"/>
    <col min="4" max="4" width="12.7109375" bestFit="1" customWidth="1"/>
    <col min="5" max="5" width="12" customWidth="1"/>
    <col min="6" max="6" width="17.5703125" customWidth="1"/>
    <col min="7" max="7" width="7.28515625" customWidth="1"/>
    <col min="9" max="9" width="7" customWidth="1"/>
    <col min="10" max="10" width="21" customWidth="1"/>
    <col min="11" max="11" width="12.5703125" customWidth="1"/>
    <col min="14" max="14" width="12.7109375" bestFit="1" customWidth="1"/>
    <col min="15" max="15" width="7.140625" customWidth="1"/>
    <col min="16" max="17" width="12.7109375" bestFit="1" customWidth="1"/>
    <col min="18" max="18" width="7.85546875" customWidth="1"/>
    <col min="19" max="19" width="14.7109375" customWidth="1"/>
    <col min="20" max="20" width="9" customWidth="1"/>
    <col min="21" max="24" width="12.7109375" bestFit="1" customWidth="1"/>
    <col min="25" max="25" width="18.85546875" customWidth="1"/>
    <col min="26" max="27" width="8.28515625" customWidth="1"/>
    <col min="28" max="28" width="12" customWidth="1"/>
    <col min="29" max="29" width="10.7109375" customWidth="1"/>
    <col min="30" max="30" width="11.140625" customWidth="1"/>
    <col min="31" max="31" width="12.7109375" bestFit="1" customWidth="1"/>
    <col min="32" max="32" width="15.5703125" bestFit="1" customWidth="1"/>
    <col min="33" max="33" width="14.28515625" customWidth="1"/>
    <col min="34" max="34" width="12.140625" customWidth="1"/>
  </cols>
  <sheetData>
    <row r="1" spans="1:34" ht="12.75">
      <c r="A1" s="1"/>
      <c r="N1" s="5"/>
      <c r="O1" s="5"/>
      <c r="P1" s="5"/>
      <c r="Q1" s="5"/>
      <c r="R1" s="5"/>
      <c r="S1" s="5"/>
      <c r="T1" s="5"/>
      <c r="U1" s="5"/>
      <c r="V1" s="5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N2" s="5"/>
      <c r="O2" s="88"/>
      <c r="P2" s="88"/>
      <c r="Q2" s="88"/>
      <c r="R2" s="88"/>
      <c r="S2" s="88"/>
      <c r="T2" s="5"/>
      <c r="U2" s="5"/>
      <c r="V2" s="5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2.75">
      <c r="A3" s="1"/>
      <c r="N3" s="5"/>
      <c r="O3" s="92"/>
      <c r="P3" s="93"/>
      <c r="Q3" s="93"/>
      <c r="R3" s="93"/>
      <c r="S3" s="93"/>
      <c r="T3" s="5"/>
      <c r="U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2.75">
      <c r="A4" s="1"/>
      <c r="N4" s="5"/>
      <c r="O4" s="92"/>
      <c r="P4" s="93"/>
      <c r="Q4" s="93"/>
      <c r="R4" s="93"/>
      <c r="S4" s="93"/>
      <c r="T4" s="5"/>
      <c r="U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2.75">
      <c r="A5" s="1"/>
      <c r="N5" s="5"/>
      <c r="O5" s="92"/>
      <c r="P5" s="93"/>
      <c r="Q5" s="93"/>
      <c r="R5" s="93"/>
      <c r="S5" s="93"/>
      <c r="T5" s="5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2.75">
      <c r="A6" s="1"/>
      <c r="N6" s="5"/>
      <c r="O6" s="92"/>
      <c r="P6" s="93"/>
      <c r="Q6" s="93"/>
      <c r="R6" s="93"/>
      <c r="S6" s="93"/>
      <c r="T6" s="5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2.75">
      <c r="A7" s="1"/>
      <c r="N7" s="5"/>
      <c r="O7" s="89"/>
      <c r="P7" s="89"/>
      <c r="Q7" s="89"/>
      <c r="R7" s="89"/>
      <c r="S7" s="89"/>
      <c r="T7" s="5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2.75">
      <c r="A8" s="1"/>
      <c r="N8" s="5"/>
      <c r="O8" s="5"/>
      <c r="P8" s="5"/>
      <c r="Q8" s="5"/>
      <c r="R8" s="5"/>
      <c r="S8" s="5"/>
      <c r="T8" s="5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2.75">
      <c r="A9" s="1"/>
      <c r="N9" s="5"/>
      <c r="O9" s="90"/>
      <c r="P9" s="90"/>
      <c r="Q9" s="90"/>
      <c r="R9" s="90"/>
      <c r="S9" s="90"/>
      <c r="T9" s="90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2.75">
      <c r="A10" s="1"/>
      <c r="N10" s="5"/>
      <c r="O10" s="94"/>
      <c r="P10" s="95"/>
      <c r="Q10" s="95"/>
      <c r="R10" s="95"/>
      <c r="S10" s="95"/>
      <c r="T10" s="49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2.75">
      <c r="A11" s="1"/>
      <c r="N11" s="5"/>
      <c r="O11" s="94"/>
      <c r="P11" s="95"/>
      <c r="Q11" s="95"/>
      <c r="R11" s="95"/>
      <c r="S11" s="95"/>
      <c r="T11" s="49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2.75">
      <c r="A12" s="1"/>
      <c r="N12" s="5"/>
      <c r="O12" s="5"/>
      <c r="P12" s="5"/>
      <c r="Q12" s="5"/>
      <c r="R12" s="5"/>
      <c r="S12" s="5"/>
      <c r="T12" s="5"/>
      <c r="U12" s="5"/>
      <c r="V12" s="5"/>
      <c r="W12" s="1"/>
      <c r="X12" s="5"/>
      <c r="Y12" s="5"/>
      <c r="Z12" s="1"/>
      <c r="AA12" s="1"/>
      <c r="AB12" s="1"/>
      <c r="AC12" s="5"/>
      <c r="AD12" s="5"/>
      <c r="AE12" s="1"/>
      <c r="AF12" s="1"/>
      <c r="AG12" s="1"/>
      <c r="AH12" s="1"/>
    </row>
    <row r="13" spans="1:34" ht="12.75">
      <c r="A13" s="1"/>
      <c r="B13" s="4" t="s">
        <v>3</v>
      </c>
      <c r="D13" t="s">
        <v>60</v>
      </c>
      <c r="N13" s="5"/>
      <c r="O13" s="5"/>
      <c r="P13" s="5"/>
      <c r="Q13" s="5"/>
      <c r="R13" s="5"/>
      <c r="S13" s="5"/>
      <c r="T13" s="5"/>
      <c r="U13" s="5"/>
      <c r="V13" s="5"/>
      <c r="W13" s="1"/>
      <c r="X13" s="5"/>
      <c r="Y13" s="5"/>
      <c r="Z13" s="1"/>
      <c r="AA13" s="1"/>
      <c r="AB13" s="1"/>
      <c r="AC13" s="5"/>
      <c r="AD13" s="5"/>
      <c r="AE13" s="1"/>
      <c r="AF13" s="1"/>
      <c r="AG13" s="1"/>
      <c r="AH13" s="1"/>
    </row>
    <row r="14" spans="1:34" ht="12.75">
      <c r="A14" s="1"/>
      <c r="B14" s="1"/>
      <c r="C14" s="1"/>
      <c r="D14" s="1"/>
      <c r="E14" s="1"/>
      <c r="F14" s="1"/>
      <c r="G14" s="1"/>
      <c r="H14" s="1"/>
      <c r="I14" s="2"/>
      <c r="J14" s="1"/>
      <c r="K14" s="2"/>
      <c r="L14" s="2"/>
      <c r="M14" s="2"/>
      <c r="N14" s="1"/>
      <c r="O14" s="2"/>
      <c r="P14" s="1"/>
      <c r="Q14" s="1"/>
      <c r="R14" s="2"/>
      <c r="S14" s="1"/>
      <c r="T14" s="1"/>
      <c r="U14" s="1"/>
      <c r="V14" s="1"/>
      <c r="W14" s="1"/>
      <c r="X14" s="5"/>
      <c r="Y14" s="5"/>
      <c r="Z14" s="1"/>
      <c r="AA14" s="1"/>
      <c r="AB14" s="1"/>
      <c r="AC14" s="5"/>
      <c r="AD14" s="5"/>
      <c r="AE14" s="1"/>
      <c r="AF14" s="1"/>
      <c r="AG14" s="1"/>
      <c r="AH14" s="1"/>
    </row>
    <row r="15" spans="1:34" ht="22.5">
      <c r="A15" s="6"/>
      <c r="B15" s="6" t="s">
        <v>0</v>
      </c>
      <c r="C15" s="6" t="str">
        <f ca="1">CELL("nomefile")</f>
        <v/>
      </c>
      <c r="D15" s="5"/>
      <c r="E15" s="5"/>
      <c r="F15" s="7" t="s">
        <v>1</v>
      </c>
      <c r="G15" s="5"/>
      <c r="H15" s="5"/>
      <c r="I15" s="1"/>
      <c r="J15" s="7" t="s">
        <v>2</v>
      </c>
      <c r="K15" s="1"/>
      <c r="L15" s="1"/>
      <c r="M15" s="1"/>
      <c r="N15" s="1"/>
      <c r="O15" s="1"/>
      <c r="P15" s="1"/>
      <c r="Q15" s="1"/>
      <c r="R15" s="1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75">
      <c r="A16" s="8"/>
      <c r="B16" s="9" t="s">
        <v>5</v>
      </c>
      <c r="C16" s="9" t="s">
        <v>6</v>
      </c>
      <c r="D16" s="10" t="s">
        <v>7</v>
      </c>
      <c r="E16" s="10" t="s">
        <v>8</v>
      </c>
      <c r="F16" s="9" t="s">
        <v>9</v>
      </c>
      <c r="G16" s="10" t="s">
        <v>10</v>
      </c>
      <c r="H16" s="9" t="s">
        <v>11</v>
      </c>
      <c r="I16" s="9" t="s">
        <v>12</v>
      </c>
      <c r="J16" s="9" t="s">
        <v>13</v>
      </c>
      <c r="K16" s="9" t="s">
        <v>14</v>
      </c>
      <c r="L16" s="9" t="s">
        <v>15</v>
      </c>
      <c r="M16" s="9" t="s">
        <v>16</v>
      </c>
      <c r="N16" s="9" t="s">
        <v>17</v>
      </c>
      <c r="O16" s="9" t="s">
        <v>18</v>
      </c>
      <c r="P16" s="10" t="s">
        <v>19</v>
      </c>
      <c r="Q16" s="10" t="s">
        <v>20</v>
      </c>
      <c r="R16" s="9" t="s">
        <v>21</v>
      </c>
      <c r="S16" s="10" t="s">
        <v>22</v>
      </c>
      <c r="T16" s="9" t="s">
        <v>23</v>
      </c>
      <c r="U16" s="9" t="s">
        <v>24</v>
      </c>
      <c r="V16" s="10" t="s">
        <v>25</v>
      </c>
      <c r="W16" s="10" t="s">
        <v>26</v>
      </c>
      <c r="X16" s="9" t="s">
        <v>27</v>
      </c>
      <c r="Y16" s="9" t="s">
        <v>28</v>
      </c>
      <c r="Z16" s="39" t="s">
        <v>37</v>
      </c>
      <c r="AA16" s="10" t="s">
        <v>29</v>
      </c>
      <c r="AB16" s="9" t="s">
        <v>30</v>
      </c>
      <c r="AC16" s="10" t="s">
        <v>31</v>
      </c>
      <c r="AD16" s="9" t="s">
        <v>32</v>
      </c>
      <c r="AE16" s="9" t="s">
        <v>33</v>
      </c>
      <c r="AF16" s="10" t="s">
        <v>34</v>
      </c>
      <c r="AG16" s="9" t="s">
        <v>35</v>
      </c>
      <c r="AH16" s="86" t="s">
        <v>65</v>
      </c>
    </row>
    <row r="17" spans="1:34" ht="53.25" customHeight="1">
      <c r="A17" s="55"/>
      <c r="B17" s="56">
        <f t="shared" ref="B17:B18" ca="1" si="0">TODAY()</f>
        <v>46086</v>
      </c>
      <c r="C17" s="57" t="s">
        <v>36</v>
      </c>
      <c r="D17" s="58">
        <v>1</v>
      </c>
      <c r="E17" s="59">
        <v>1</v>
      </c>
      <c r="F17" s="57" t="s">
        <v>63</v>
      </c>
      <c r="G17" s="60">
        <v>0</v>
      </c>
      <c r="H17" s="61"/>
      <c r="I17" s="62">
        <v>-3</v>
      </c>
      <c r="J17" s="57" t="s">
        <v>62</v>
      </c>
      <c r="K17" s="63">
        <v>3</v>
      </c>
      <c r="L17" s="64">
        <f>L18+20</f>
        <v>95</v>
      </c>
      <c r="M17" s="64">
        <f>M18+20</f>
        <v>95</v>
      </c>
      <c r="N17" s="65">
        <f t="shared" ref="N17" si="1">L17*M17/100/100</f>
        <v>0.90249999999999997</v>
      </c>
      <c r="O17" s="66">
        <v>1</v>
      </c>
      <c r="P17" s="67">
        <f>(80-G17*25)+(K17*20)+((I17*30)-(G17*I17*10))</f>
        <v>50</v>
      </c>
      <c r="Q17" s="68">
        <f t="shared" ref="Q17:Q18" si="2">(N17*45+I17*5)+(N17*I17*G17*15)</f>
        <v>25.612499999999997</v>
      </c>
      <c r="R17" s="69">
        <v>0</v>
      </c>
      <c r="S17" s="84">
        <f t="shared" ref="S17" si="3">(P17+Q17)*(1+R17/100)</f>
        <v>75.612499999999997</v>
      </c>
      <c r="T17" s="70">
        <f t="shared" ref="T17" si="4">O17*N17</f>
        <v>0.90249999999999997</v>
      </c>
      <c r="U17" s="71">
        <f t="shared" ref="U17" si="5">T17*S17</f>
        <v>68.240281249999995</v>
      </c>
      <c r="V17" s="72">
        <f t="shared" ref="V17" si="6">30*K17*T17</f>
        <v>81.224999999999994</v>
      </c>
      <c r="W17" s="85">
        <f t="shared" ref="W17" si="7">5+(K17*2)+N17*3</f>
        <v>13.7075</v>
      </c>
      <c r="X17" s="73">
        <f t="shared" ref="X17" si="8">W17*T17</f>
        <v>12.371018749999999</v>
      </c>
      <c r="Y17" s="74"/>
      <c r="Z17" s="75"/>
      <c r="AA17" s="76"/>
      <c r="AB17" s="77"/>
      <c r="AC17" s="57">
        <f t="shared" ref="AC17" si="9">AA17*AB17</f>
        <v>0</v>
      </c>
      <c r="AD17" s="78">
        <v>0</v>
      </c>
      <c r="AE17" s="79">
        <f t="shared" ref="AE17" si="10">(L17+M17)*2/100*AD17*O17</f>
        <v>0</v>
      </c>
      <c r="AF17" s="80">
        <f t="shared" ref="AF17" si="11">AG17/O17</f>
        <v>80.6113</v>
      </c>
      <c r="AG17" s="81">
        <f t="shared" ref="AG17" si="12">AE17+X17+U17+AC17</f>
        <v>80.6113</v>
      </c>
      <c r="AH17" s="82"/>
    </row>
    <row r="18" spans="1:34" ht="53.25" customHeight="1">
      <c r="A18" s="11"/>
      <c r="B18" s="54">
        <f t="shared" ca="1" si="0"/>
        <v>46086</v>
      </c>
      <c r="C18" s="13" t="s">
        <v>36</v>
      </c>
      <c r="D18" s="14">
        <v>1</v>
      </c>
      <c r="E18" s="15">
        <v>1</v>
      </c>
      <c r="F18" s="13" t="s">
        <v>61</v>
      </c>
      <c r="G18" s="16">
        <v>0</v>
      </c>
      <c r="H18" s="17"/>
      <c r="I18" s="18">
        <v>0</v>
      </c>
      <c r="J18" s="13" t="s">
        <v>64</v>
      </c>
      <c r="K18" s="50">
        <v>3</v>
      </c>
      <c r="L18" s="19">
        <v>75</v>
      </c>
      <c r="M18" s="19">
        <v>75</v>
      </c>
      <c r="N18" s="20">
        <f t="shared" ref="N18" si="13">L18*M18/100/100</f>
        <v>0.5625</v>
      </c>
      <c r="O18" s="21">
        <v>1</v>
      </c>
      <c r="P18" s="22">
        <f t="shared" ref="P18" si="14">(80-G18*25)+(K18*20)+((I18*30)-(G18*I18*10))</f>
        <v>140</v>
      </c>
      <c r="Q18" s="23">
        <f t="shared" si="2"/>
        <v>25.3125</v>
      </c>
      <c r="R18" s="24">
        <v>0</v>
      </c>
      <c r="S18" s="25">
        <f t="shared" ref="S18" si="15">(P18+Q18)*(1+R18/100)</f>
        <v>165.3125</v>
      </c>
      <c r="T18" s="26">
        <f t="shared" ref="T18" si="16">O18*N18</f>
        <v>0.5625</v>
      </c>
      <c r="U18" s="27">
        <f t="shared" ref="U18" si="17">T18*S18</f>
        <v>92.98828125</v>
      </c>
      <c r="V18" s="28">
        <f t="shared" ref="V18" si="18">30*K18*T18</f>
        <v>50.625</v>
      </c>
      <c r="W18" s="29">
        <f t="shared" ref="W18" si="19">5+(K18*2)+N18*3</f>
        <v>12.6875</v>
      </c>
      <c r="X18" s="30">
        <f t="shared" ref="X18" si="20">W18*T18</f>
        <v>7.13671875</v>
      </c>
      <c r="Y18" s="13"/>
      <c r="Z18" s="12"/>
      <c r="AA18" s="31"/>
      <c r="AB18" s="32"/>
      <c r="AC18" s="13"/>
      <c r="AD18" s="83">
        <f>IF(K18=2,1.3,IF(K18=3,2.3,IF(K18=4,4,IF(K18&gt;4,4.2))))</f>
        <v>2.2999999999999998</v>
      </c>
      <c r="AE18" s="33">
        <f t="shared" ref="AE18" si="21">(L18+M18)*2/100*AD18*O18</f>
        <v>6.8999999999999995</v>
      </c>
      <c r="AF18" s="34">
        <f>AG18/O18</f>
        <v>107.02500000000001</v>
      </c>
      <c r="AG18" s="35">
        <f>AE18+X18+U18+AC18</f>
        <v>107.02500000000001</v>
      </c>
      <c r="AH18" s="87">
        <f>(SUM(AG17:AG18)/O18)</f>
        <v>187.63630000000001</v>
      </c>
    </row>
    <row r="19" spans="1:34" ht="27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>
        <f>SUM(T17:T17)</f>
        <v>0.90249999999999997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 t="s">
        <v>4</v>
      </c>
      <c r="AG19" s="38">
        <f>SUM(AG17:AG18)</f>
        <v>187.63630000000001</v>
      </c>
      <c r="AH19" s="36"/>
    </row>
    <row r="20" spans="1:34" ht="15.75" customHeight="1">
      <c r="AF20" s="4"/>
    </row>
    <row r="22" spans="1:34" ht="15.75" customHeight="1">
      <c r="D22" s="45"/>
      <c r="E22" s="45"/>
      <c r="F22" s="45"/>
      <c r="G22" s="45"/>
      <c r="H22" s="45"/>
      <c r="I22" s="45"/>
      <c r="J22" s="45"/>
    </row>
    <row r="23" spans="1:34" ht="15.75" customHeight="1">
      <c r="D23" s="45"/>
      <c r="E23" s="45"/>
      <c r="F23" s="45"/>
      <c r="G23" s="45"/>
      <c r="H23" s="45"/>
      <c r="I23" s="45"/>
      <c r="J23" s="45"/>
    </row>
    <row r="24" spans="1:34" ht="15.75" customHeight="1">
      <c r="D24" s="45"/>
      <c r="E24" s="91"/>
      <c r="F24" s="91"/>
      <c r="G24" s="91"/>
      <c r="H24" s="45"/>
      <c r="I24" s="45"/>
      <c r="J24" s="45"/>
    </row>
    <row r="25" spans="1:34" ht="25.5" customHeight="1">
      <c r="D25" s="45"/>
      <c r="E25" s="46"/>
      <c r="F25" s="46"/>
      <c r="G25" s="46"/>
      <c r="H25" s="5"/>
      <c r="I25" s="5"/>
      <c r="J25" s="5"/>
      <c r="K25" s="1"/>
      <c r="L25" s="1"/>
      <c r="M25" s="3"/>
      <c r="AF25" s="51"/>
      <c r="AG25" s="51"/>
      <c r="AH25" s="51"/>
    </row>
    <row r="26" spans="1:34" ht="12.75">
      <c r="D26" s="45"/>
      <c r="E26" s="47"/>
      <c r="F26" s="48"/>
      <c r="G26" s="45"/>
      <c r="H26" s="45"/>
      <c r="I26" s="45"/>
      <c r="J26" s="45"/>
      <c r="AF26" s="51"/>
      <c r="AG26" s="51"/>
      <c r="AH26" s="51"/>
    </row>
    <row r="27" spans="1:34" ht="20.25">
      <c r="D27" s="45"/>
      <c r="E27" s="47"/>
      <c r="F27" s="48"/>
      <c r="G27" s="45"/>
      <c r="H27" s="45"/>
      <c r="I27" s="45"/>
      <c r="J27" s="45"/>
      <c r="AF27" s="51"/>
      <c r="AG27" s="52"/>
      <c r="AH27" s="51"/>
    </row>
    <row r="28" spans="1:34" ht="28.35" customHeight="1">
      <c r="D28" s="45"/>
      <c r="E28" s="47"/>
      <c r="F28" s="48"/>
      <c r="G28" s="45"/>
      <c r="H28" s="5"/>
      <c r="I28" s="5"/>
      <c r="J28" s="5"/>
      <c r="K28" s="1"/>
      <c r="L28" s="1"/>
      <c r="M28" s="1"/>
      <c r="AF28" s="51"/>
      <c r="AG28" s="53"/>
      <c r="AH28" s="51"/>
    </row>
    <row r="29" spans="1:34" ht="28.35" customHeight="1">
      <c r="D29" s="45"/>
      <c r="E29" s="47"/>
      <c r="F29" s="48"/>
      <c r="G29" s="45"/>
      <c r="H29" s="5"/>
      <c r="I29" s="45"/>
      <c r="J29" s="45"/>
      <c r="L29" s="1"/>
      <c r="M29" s="1"/>
      <c r="AF29" s="51"/>
      <c r="AG29" s="51"/>
      <c r="AH29" s="51"/>
    </row>
    <row r="30" spans="1:34" ht="28.35" customHeight="1">
      <c r="D30" s="45"/>
      <c r="E30" s="47"/>
      <c r="F30" s="48"/>
      <c r="G30" s="45"/>
      <c r="H30" s="45"/>
      <c r="I30" s="45"/>
      <c r="J30" s="45"/>
      <c r="AF30" s="51"/>
      <c r="AG30" s="51"/>
      <c r="AH30" s="51"/>
    </row>
    <row r="31" spans="1:34" ht="28.35" customHeight="1">
      <c r="D31" s="45"/>
      <c r="E31" s="47"/>
      <c r="F31" s="48"/>
      <c r="G31" s="45"/>
      <c r="H31" s="45"/>
      <c r="I31" s="45"/>
      <c r="J31" s="45"/>
    </row>
    <row r="32" spans="1:34" ht="36.75" customHeight="1">
      <c r="D32" s="45"/>
      <c r="E32" s="47"/>
      <c r="F32" s="48"/>
      <c r="G32" s="45"/>
      <c r="H32" s="45"/>
      <c r="I32" s="45"/>
      <c r="J32" s="45"/>
    </row>
    <row r="33" ht="28.35" customHeight="1"/>
    <row r="34" ht="28.35" customHeight="1"/>
    <row r="35" ht="28.35" customHeight="1"/>
    <row r="36" ht="28.35" customHeight="1"/>
    <row r="37" ht="12.75"/>
    <row r="38" ht="12.75"/>
  </sheetData>
  <mergeCells count="10">
    <mergeCell ref="O2:S2"/>
    <mergeCell ref="O7:S7"/>
    <mergeCell ref="O9:T9"/>
    <mergeCell ref="E24:G24"/>
    <mergeCell ref="O3:S3"/>
    <mergeCell ref="O4:S4"/>
    <mergeCell ref="O5:S5"/>
    <mergeCell ref="O6:S6"/>
    <mergeCell ref="O10:S10"/>
    <mergeCell ref="O11:S11"/>
  </mergeCells>
  <dataValidations count="2">
    <dataValidation type="list" allowBlank="1" showErrorMessage="1" sqref="I17">
      <formula1>"-2,-3,0,1,2,3,4"</formula1>
    </dataValidation>
    <dataValidation type="list" allowBlank="1" showErrorMessage="1" sqref="I18">
      <formula1>"-3,-2,0,1,2,3,4"</formula1>
    </dataValidation>
  </dataValidations>
  <printOptions horizontalCentered="1"/>
  <pageMargins left="0.19685039370078741" right="0.15748031496062992" top="0.23622047244094491" bottom="0.74803149606299213" header="0" footer="0"/>
  <pageSetup paperSize="9" scale="36" fitToHeight="0" pageOrder="overThenDown" orientation="landscape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"/>
  <sheetViews>
    <sheetView workbookViewId="0">
      <selection activeCell="H7" sqref="H7"/>
    </sheetView>
  </sheetViews>
  <sheetFormatPr defaultRowHeight="12.75"/>
  <cols>
    <col min="3" max="3" width="20.28515625" customWidth="1"/>
  </cols>
  <sheetData>
    <row r="2" spans="2:15" ht="15.75">
      <c r="B2" s="96" t="s">
        <v>38</v>
      </c>
      <c r="C2" s="96"/>
      <c r="D2" s="96"/>
    </row>
    <row r="3" spans="2:15">
      <c r="B3" s="40" t="s">
        <v>41</v>
      </c>
      <c r="C3" s="40" t="s">
        <v>42</v>
      </c>
      <c r="D3" s="40" t="s">
        <v>43</v>
      </c>
      <c r="H3" s="44" t="s">
        <v>58</v>
      </c>
    </row>
    <row r="4" spans="2:15" ht="33.75">
      <c r="B4" s="41" t="s">
        <v>39</v>
      </c>
      <c r="C4" s="42" t="s">
        <v>40</v>
      </c>
      <c r="D4" s="43">
        <v>115</v>
      </c>
      <c r="H4" t="s">
        <v>59</v>
      </c>
      <c r="I4" s="45"/>
      <c r="J4" s="47"/>
      <c r="K4" s="48"/>
      <c r="L4" s="45"/>
      <c r="M4" s="45"/>
      <c r="N4" s="45"/>
      <c r="O4" s="45"/>
    </row>
    <row r="5" spans="2:15" ht="33.75">
      <c r="B5" s="41" t="s">
        <v>44</v>
      </c>
      <c r="C5" s="42" t="s">
        <v>51</v>
      </c>
      <c r="D5" s="43">
        <v>160</v>
      </c>
    </row>
    <row r="6" spans="2:15" ht="22.5">
      <c r="B6" s="41" t="s">
        <v>45</v>
      </c>
      <c r="C6" s="42" t="s">
        <v>52</v>
      </c>
      <c r="D6" s="43">
        <v>175</v>
      </c>
    </row>
    <row r="7" spans="2:15" ht="22.5">
      <c r="B7" s="41" t="s">
        <v>46</v>
      </c>
      <c r="C7" s="42" t="s">
        <v>53</v>
      </c>
      <c r="D7" s="43">
        <v>230</v>
      </c>
    </row>
    <row r="8" spans="2:15" ht="33.75">
      <c r="B8" s="41" t="s">
        <v>47</v>
      </c>
      <c r="C8" s="42" t="s">
        <v>54</v>
      </c>
      <c r="D8" s="43">
        <v>235</v>
      </c>
    </row>
    <row r="9" spans="2:15" ht="33.75">
      <c r="B9" s="41" t="s">
        <v>48</v>
      </c>
      <c r="C9" s="42" t="s">
        <v>55</v>
      </c>
      <c r="D9" s="43">
        <v>320</v>
      </c>
    </row>
    <row r="10" spans="2:15" ht="33.75">
      <c r="B10" s="41" t="s">
        <v>49</v>
      </c>
      <c r="C10" s="42" t="s">
        <v>56</v>
      </c>
      <c r="D10" s="43">
        <v>285</v>
      </c>
    </row>
    <row r="11" spans="2:15" ht="33.75">
      <c r="B11" s="41" t="s">
        <v>50</v>
      </c>
      <c r="C11" s="42" t="s">
        <v>57</v>
      </c>
      <c r="D11" s="43">
        <v>415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CALCOLO VINCENZO</vt:lpstr>
      <vt:lpstr>BANCALI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2025-06-30T08:57:54Z</cp:lastPrinted>
  <dcterms:created xsi:type="dcterms:W3CDTF">2024-09-11T09:44:15Z</dcterms:created>
  <dcterms:modified xsi:type="dcterms:W3CDTF">2026-03-05T09:30:54Z</dcterms:modified>
</cp:coreProperties>
</file>